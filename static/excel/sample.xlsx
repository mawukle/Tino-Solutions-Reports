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tinosolutionslimited/Desktop/LENOVO/TINO/DOCUMENTS/PYTHON/TINO_Invoice-online/Tino-Solutions-Reports/static/excel/"/>
    </mc:Choice>
  </mc:AlternateContent>
  <xr:revisionPtr revIDLastSave="0" documentId="8_{F03D65F6-6344-2344-B6A7-833F5FB5D23D}" xr6:coauthVersionLast="47" xr6:coauthVersionMax="47" xr10:uidLastSave="{00000000-0000-0000-0000-000000000000}"/>
  <bookViews>
    <workbookView xWindow="0" yWindow="500" windowWidth="26880" windowHeight="16300"/>
  </bookViews>
  <sheets>
    <sheet name="INVOICE" sheetId="2" r:id="rId1"/>
  </sheets>
  <externalReferences>
    <externalReference r:id="rId2"/>
  </externalReferences>
  <definedNames>
    <definedName name="_xlnm.Print_Area" localSheetId="0">INVOICE!$A$2:$L$80</definedName>
    <definedName name="SMART_MPPT">[1]SURVEY!#REF!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32" i="2"/>
  <c r="L33" i="2"/>
  <c r="L34" i="2"/>
  <c r="L35" i="2"/>
  <c r="L36" i="2"/>
  <c r="L28" i="2"/>
  <c r="L29" i="2"/>
  <c r="L30" i="2"/>
  <c r="L31" i="2"/>
  <c r="L22" i="2"/>
  <c r="L23" i="2"/>
  <c r="L24" i="2"/>
  <c r="L49" i="2"/>
  <c r="L50" i="2"/>
  <c r="L51" i="2"/>
  <c r="L52" i="2"/>
  <c r="L53" i="2"/>
  <c r="L54" i="2"/>
  <c r="L67" i="2"/>
  <c r="L66" i="2"/>
  <c r="L64" i="2"/>
  <c r="L63" i="2"/>
  <c r="L62" i="2"/>
  <c r="L61" i="2"/>
  <c r="L48" i="2"/>
  <c r="L47" i="2"/>
  <c r="L46" i="2"/>
  <c r="L45" i="2"/>
  <c r="L44" i="2"/>
  <c r="L43" i="2"/>
  <c r="L42" i="2"/>
  <c r="L41" i="2"/>
  <c r="L40" i="2"/>
  <c r="L39" i="2"/>
  <c r="L38" i="2"/>
  <c r="L37" i="2"/>
  <c r="L27" i="2"/>
  <c r="L26" i="2"/>
  <c r="L25" i="2"/>
  <c r="L21" i="2"/>
  <c r="L20" i="2"/>
  <c r="L68" i="2"/>
  <c r="L72" i="2"/>
</calcChain>
</file>

<file path=xl/sharedStrings.xml><?xml version="1.0" encoding="utf-8"?>
<sst xmlns="http://schemas.openxmlformats.org/spreadsheetml/2006/main" count="73" uniqueCount="67">
  <si>
    <r>
      <t xml:space="preserve">T </t>
    </r>
    <r>
      <rPr>
        <b/>
        <sz val="12"/>
        <color indexed="17"/>
        <rFont val="Trebuchet MS"/>
        <family val="2"/>
      </rPr>
      <t xml:space="preserve">I N O  </t>
    </r>
    <r>
      <rPr>
        <b/>
        <sz val="14"/>
        <color indexed="17"/>
        <rFont val="Trebuchet MS"/>
        <family val="2"/>
      </rPr>
      <t>S O L U T I O N S  LTD</t>
    </r>
    <r>
      <rPr>
        <sz val="12"/>
        <rFont val="Trebuchet MS"/>
        <family val="2"/>
      </rPr>
      <t xml:space="preserve">
P. O. Box LG 817, Legon
 Accra - Ghana
Tel: 233 (0) 302 241 971, 0541 123 430</t>
    </r>
  </si>
  <si>
    <t/>
  </si>
  <si>
    <t>QUOTATION</t>
  </si>
  <si>
    <t>Customer</t>
  </si>
  <si>
    <t>Misc</t>
  </si>
  <si>
    <t>Name</t>
  </si>
  <si>
    <t>Date</t>
  </si>
  <si>
    <t>Address</t>
  </si>
  <si>
    <t>Order No.</t>
  </si>
  <si>
    <t>City</t>
  </si>
  <si>
    <t>Rep</t>
  </si>
  <si>
    <t>Phone</t>
  </si>
  <si>
    <t>Currency</t>
  </si>
  <si>
    <t>Qty</t>
  </si>
  <si>
    <t>Description</t>
  </si>
  <si>
    <t>Unit Price</t>
  </si>
  <si>
    <t>TOTAL</t>
  </si>
  <si>
    <t xml:space="preserve">SubTotal  </t>
  </si>
  <si>
    <t xml:space="preserve">TOTAL </t>
  </si>
  <si>
    <t>Office Use Only</t>
  </si>
  <si>
    <t>Terms of Sale:</t>
  </si>
  <si>
    <t>Delivery: Immediate upon confirmation of payment</t>
  </si>
  <si>
    <t>Mobile Money Number: 0247671755</t>
  </si>
  <si>
    <t>Validity: 2 weeks from date of invoice</t>
  </si>
  <si>
    <t>BYD Battery-Box Premium LV BMU</t>
  </si>
  <si>
    <t>Hikra Sol DC Solar cable 1x10mm2 1500V H1Z2Z2</t>
  </si>
  <si>
    <t>Hikra Sol DC Solar cable 1x16mm2 1500V H1Z2Z2</t>
  </si>
  <si>
    <t>1x6mm2 RV-K 0.6/1KV Yellow/Green Earth Cable</t>
  </si>
  <si>
    <t>Victron VE.Can to CAN-bus BMS type A Cable 1.8m</t>
  </si>
  <si>
    <t>50x200mm Enclosure with Dinrail</t>
  </si>
  <si>
    <t>PVC Pipes, Trunking, Cable Lugs and Assessories</t>
  </si>
  <si>
    <t>Warranty: 10 years for battery, 5 years for inverter and accessories, 10 years for solar panels</t>
  </si>
  <si>
    <t xml:space="preserve">System Design: Hybrid Solar system to supply power to residential facility </t>
  </si>
  <si>
    <t>Emmanuel</t>
  </si>
  <si>
    <t>GH₵</t>
  </si>
  <si>
    <t>Hikra Sol DC Solar cable 1x4mm2 1500V H1Z2Z2</t>
  </si>
  <si>
    <t>Hikra Sol DC Solar cable 1x25mm2 1500V H1Z2Z2</t>
  </si>
  <si>
    <t>Victron MC4 Solar connector pair MC4, 1x Male/1x Female</t>
  </si>
  <si>
    <t>Victron Quattro 48/8000/110-100/100 230V VE.Bus</t>
  </si>
  <si>
    <t>Payment: 100% Payment with order</t>
  </si>
  <si>
    <t>Hybrid Solar System with 24kVA inverter, 40kWh Battery, 20.34kWp Solar Panels and Remote Monitoring</t>
  </si>
  <si>
    <t>BYD LV 5.0KWH Lithium Battery</t>
  </si>
  <si>
    <t>JA Solar JAM72-S30 565 Watts Solar Panel</t>
  </si>
  <si>
    <t>Victron SmartSolar MPPT 250/100-Tr VE.Can</t>
  </si>
  <si>
    <t>Victron Cerbo GX</t>
  </si>
  <si>
    <t>Victron GX Touch 50 Wall Mount</t>
  </si>
  <si>
    <t>Victron Solar Busbar 600A 4P + cover</t>
  </si>
  <si>
    <t>Solar DC Combiner BHS 3/1</t>
  </si>
  <si>
    <t>Citel AC Surge Protection Device DAC50VGS-31-275/G VAC 3-Phase</t>
  </si>
  <si>
    <t>Hikra Sol DC Solar cable 1x35mm2 1500V H1Z2Z2</t>
  </si>
  <si>
    <t>Top Cable AC solar cable 5x16mm2 RV-K 0.6/1KV</t>
  </si>
  <si>
    <t>Victron RJ45 UTP Cable 3 m</t>
  </si>
  <si>
    <t>Victron VE.Direct Cable 1,8m</t>
  </si>
  <si>
    <t>100A Manual Transfer Switch</t>
  </si>
  <si>
    <t>63A 4-Pole AC Circuit Breaker</t>
  </si>
  <si>
    <t>Mounting Structure for Metal/ Tile Roof (per set of 4 panels) - 4.64 meter</t>
  </si>
  <si>
    <t>Battery Rack for up to 8 Batteries - Lithium Batteries</t>
  </si>
  <si>
    <t>Engineering, Transportation and Installation Services</t>
  </si>
  <si>
    <t>Bank Name: ECOBANK (GH) LTD</t>
  </si>
  <si>
    <t>Account No: 1441002237313 (GHS)</t>
  </si>
  <si>
    <t>Account No: 3441002198840 (USD)</t>
  </si>
  <si>
    <t>Account Name: Tino Solutions Limited</t>
  </si>
  <si>
    <t>Swift Code: ECOCGHACXXX</t>
  </si>
  <si>
    <t>Sort Code: 130111</t>
  </si>
  <si>
    <t>Bank Branch: Abeka Lapaz</t>
  </si>
  <si>
    <t>Physical address: 38 Amrahia-Katamanso Road, Opposite East-Amarahia, off the Adenta-Dodowa Road, Accra, Ghana ; Email: info@tinosolutions.com</t>
  </si>
  <si>
    <t>TSL-DI-251024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</si>
</sst>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9" formatCode="_(&quot;$&quot;* #,##0.00_);_(&quot;$&quot;* \(#,##0.00\);_(&quot;$&quot;* &quot;-&quot;??_);_(@_)"/>
    <numFmt numFmtId="170" formatCode="_-* #,##0.00_-;\-* #,##0.00_-;_-* &quot;-&quot;??_-;_-@_-"/>
  </numFmts>
  <fonts count="2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indexed="17"/>
      <name val="Trebuchet MS"/>
      <family val="2"/>
    </font>
    <font>
      <b/>
      <sz val="12"/>
      <color indexed="17"/>
      <name val="Trebuchet MS"/>
      <family val="2"/>
    </font>
    <font>
      <sz val="12"/>
      <name val="Trebuchet MS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10"/>
      <name val="System"/>
      <family val="2"/>
    </font>
    <font>
      <b/>
      <sz val="14"/>
      <name val="Trebuchet MS"/>
      <family val="2"/>
    </font>
    <font>
      <sz val="10"/>
      <name val="Trebuchet MS"/>
      <family val="2"/>
    </font>
    <font>
      <b/>
      <sz val="10"/>
      <color indexed="53"/>
      <name val="Arial"/>
      <family val="2"/>
    </font>
    <font>
      <b/>
      <sz val="10"/>
      <name val="Trebuchet MS"/>
      <family val="2"/>
    </font>
    <font>
      <b/>
      <u/>
      <sz val="10"/>
      <name val="Trebuchet MS"/>
      <family val="2"/>
    </font>
    <font>
      <b/>
      <sz val="10"/>
      <color indexed="8"/>
      <name val="Trebuchet MS"/>
      <family val="2"/>
    </font>
    <font>
      <i/>
      <sz val="10"/>
      <name val="Trebuchet MS"/>
      <family val="2"/>
    </font>
    <font>
      <b/>
      <sz val="10"/>
      <color indexed="17"/>
      <name val="Trebuchet MS"/>
      <family val="2"/>
    </font>
    <font>
      <sz val="8"/>
      <name val="Calibri"/>
      <family val="2"/>
    </font>
    <font>
      <b/>
      <i/>
      <sz val="10"/>
      <name val="Trebuchet MS"/>
      <family val="2"/>
    </font>
    <font>
      <b/>
      <sz val="12"/>
      <color indexed="8"/>
      <name val="Trebuchet MS"/>
      <family val="2"/>
    </font>
    <font>
      <b/>
      <sz val="10"/>
      <color rgb="FFFF0000"/>
      <name val="Arial"/>
      <family val="2"/>
    </font>
    <font>
      <b/>
      <sz val="10"/>
      <color rgb="FFFF0000"/>
      <name val="Trebuchet MS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8"/>
        <bgColor indexed="64"/>
      </patternFill>
    </fill>
    <fill>
      <patternFill patternType="mediumGray">
        <fgColor indexed="9"/>
        <bgColor indexed="9"/>
      </patternFill>
    </fill>
  </fills>
  <borders count="29">
    <border>
      <left/>
      <right/>
      <top/>
      <bottom/>
      <diagonal/>
    </border>
    <border>
      <left/>
      <right/>
      <top style="thick">
        <color indexed="54"/>
      </top>
      <bottom style="hair">
        <color indexed="37"/>
      </bottom>
      <diagonal/>
    </border>
    <border>
      <left/>
      <right/>
      <top/>
      <bottom style="hair">
        <color indexed="3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/>
      <right/>
      <top style="hair">
        <color indexed="22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22"/>
      </top>
      <bottom style="hair">
        <color indexed="22"/>
      </bottom>
      <diagonal/>
    </border>
    <border>
      <left/>
      <right/>
      <top/>
      <bottom style="thick">
        <color indexed="54"/>
      </bottom>
      <diagonal/>
    </border>
    <border>
      <left style="thick">
        <color indexed="54"/>
      </left>
      <right/>
      <top style="thick">
        <color indexed="54"/>
      </top>
      <bottom/>
      <diagonal/>
    </border>
    <border>
      <left/>
      <right/>
      <top style="thick">
        <color indexed="5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169" fontId="1" fillId="0" borderId="0" applyFont="0" applyFill="0" applyBorder="0" applyAlignment="0" applyProtection="0"/>
    <xf numFmtId="0" fontId="1" fillId="0" borderId="0"/>
  </cellStyleXfs>
  <cellXfs count="96">
    <xf numFmtId="0" fontId="0" fillId="0" borderId="0" xfId="0"/>
    <xf numFmtId="0" fontId="1" fillId="2" borderId="0" xfId="2" applyFill="1"/>
    <xf numFmtId="0" fontId="1" fillId="3" borderId="0" xfId="2" applyFill="1"/>
    <xf numFmtId="0" fontId="5" fillId="2" borderId="0" xfId="2" applyFont="1" applyFill="1" applyAlignment="1" applyProtection="1">
      <alignment horizontal="left" vertical="center" wrapText="1"/>
      <protection locked="0"/>
    </xf>
    <xf numFmtId="0" fontId="6" fillId="2" borderId="0" xfId="2" applyFont="1" applyFill="1"/>
    <xf numFmtId="0" fontId="7" fillId="2" borderId="0" xfId="2" applyFont="1" applyFill="1" applyProtection="1">
      <protection locked="0"/>
    </xf>
    <xf numFmtId="1" fontId="7" fillId="2" borderId="0" xfId="2" applyNumberFormat="1" applyFont="1" applyFill="1"/>
    <xf numFmtId="0" fontId="6" fillId="2" borderId="0" xfId="2" applyFont="1" applyFill="1" applyAlignment="1">
      <alignment horizontal="left"/>
    </xf>
    <xf numFmtId="0" fontId="1" fillId="0" borderId="0" xfId="2"/>
    <xf numFmtId="0" fontId="10" fillId="2" borderId="0" xfId="2" applyFont="1" applyFill="1"/>
    <xf numFmtId="0" fontId="1" fillId="2" borderId="1" xfId="2" applyFill="1" applyBorder="1"/>
    <xf numFmtId="0" fontId="1" fillId="2" borderId="2" xfId="2" applyFill="1" applyBorder="1"/>
    <xf numFmtId="0" fontId="11" fillId="2" borderId="3" xfId="2" applyFont="1" applyFill="1" applyBorder="1"/>
    <xf numFmtId="0" fontId="9" fillId="2" borderId="4" xfId="2" applyFont="1" applyFill="1" applyBorder="1"/>
    <xf numFmtId="0" fontId="9" fillId="2" borderId="5" xfId="2" applyFont="1" applyFill="1" applyBorder="1"/>
    <xf numFmtId="0" fontId="9" fillId="2" borderId="6" xfId="2" applyFont="1" applyFill="1" applyBorder="1"/>
    <xf numFmtId="0" fontId="9" fillId="2" borderId="0" xfId="2" applyFont="1" applyFill="1"/>
    <xf numFmtId="0" fontId="9" fillId="2" borderId="7" xfId="2" applyFont="1" applyFill="1" applyBorder="1"/>
    <xf numFmtId="0" fontId="9" fillId="2" borderId="8" xfId="2" applyFont="1" applyFill="1" applyBorder="1"/>
    <xf numFmtId="14" fontId="9" fillId="2" borderId="9" xfId="2" applyNumberFormat="1" applyFont="1" applyFill="1" applyBorder="1" applyAlignment="1" applyProtection="1">
      <alignment horizontal="left"/>
      <protection locked="0"/>
    </xf>
    <xf numFmtId="49" fontId="9" fillId="2" borderId="9" xfId="2" applyNumberFormat="1" applyFont="1" applyFill="1" applyBorder="1" applyAlignment="1" applyProtection="1">
      <alignment horizontal="left"/>
      <protection locked="0"/>
    </xf>
    <xf numFmtId="49" fontId="11" fillId="2" borderId="10" xfId="2" applyNumberFormat="1" applyFont="1" applyFill="1" applyBorder="1" applyAlignment="1" applyProtection="1">
      <alignment horizontal="left" wrapText="1"/>
      <protection locked="0"/>
    </xf>
    <xf numFmtId="0" fontId="11" fillId="2" borderId="0" xfId="2" applyFont="1" applyFill="1" applyAlignment="1">
      <alignment horizontal="right"/>
    </xf>
    <xf numFmtId="49" fontId="11" fillId="2" borderId="11" xfId="2" applyNumberFormat="1" applyFont="1" applyFill="1" applyBorder="1" applyAlignment="1" applyProtection="1">
      <alignment horizontal="left"/>
      <protection locked="0"/>
    </xf>
    <xf numFmtId="0" fontId="9" fillId="2" borderId="9" xfId="2" applyFont="1" applyFill="1" applyBorder="1" applyAlignment="1" applyProtection="1">
      <alignment horizontal="left"/>
      <protection locked="0"/>
    </xf>
    <xf numFmtId="0" fontId="11" fillId="2" borderId="0" xfId="2" applyFont="1" applyFill="1"/>
    <xf numFmtId="0" fontId="11" fillId="2" borderId="12" xfId="2" applyFont="1" applyFill="1" applyBorder="1" applyAlignment="1">
      <alignment horizontal="center"/>
    </xf>
    <xf numFmtId="0" fontId="11" fillId="2" borderId="13" xfId="2" applyFont="1" applyFill="1" applyBorder="1" applyAlignment="1">
      <alignment horizontal="center"/>
    </xf>
    <xf numFmtId="0" fontId="11" fillId="2" borderId="14" xfId="2" applyFont="1" applyFill="1" applyBorder="1" applyAlignment="1">
      <alignment horizontal="center"/>
    </xf>
    <xf numFmtId="43" fontId="11" fillId="2" borderId="15" xfId="1" applyNumberFormat="1" applyFont="1" applyFill="1" applyBorder="1" applyProtection="1">
      <protection locked="0"/>
    </xf>
    <xf numFmtId="43" fontId="11" fillId="2" borderId="15" xfId="1" applyNumberFormat="1" applyFont="1" applyFill="1" applyBorder="1"/>
    <xf numFmtId="0" fontId="6" fillId="3" borderId="0" xfId="2" applyFont="1" applyFill="1"/>
    <xf numFmtId="0" fontId="11" fillId="2" borderId="16" xfId="2" applyFont="1" applyFill="1" applyBorder="1" applyAlignment="1">
      <alignment horizontal="center"/>
    </xf>
    <xf numFmtId="43" fontId="9" fillId="2" borderId="15" xfId="1" applyNumberFormat="1" applyFont="1" applyFill="1" applyBorder="1" applyProtection="1">
      <protection locked="0"/>
    </xf>
    <xf numFmtId="43" fontId="9" fillId="2" borderId="8" xfId="1" applyNumberFormat="1" applyFont="1" applyFill="1" applyBorder="1"/>
    <xf numFmtId="43" fontId="9" fillId="2" borderId="8" xfId="1" applyNumberFormat="1" applyFont="1" applyFill="1" applyBorder="1" applyProtection="1">
      <protection locked="0"/>
    </xf>
    <xf numFmtId="0" fontId="9" fillId="2" borderId="15" xfId="2" applyFont="1" applyFill="1" applyBorder="1" applyAlignment="1" applyProtection="1">
      <alignment horizontal="center"/>
      <protection locked="0"/>
    </xf>
    <xf numFmtId="0" fontId="19" fillId="2" borderId="0" xfId="2" applyFont="1" applyFill="1"/>
    <xf numFmtId="0" fontId="20" fillId="2" borderId="15" xfId="2" applyFont="1" applyFill="1" applyBorder="1" applyAlignment="1" applyProtection="1">
      <alignment horizontal="center"/>
      <protection locked="0"/>
    </xf>
    <xf numFmtId="43" fontId="20" fillId="2" borderId="15" xfId="1" applyNumberFormat="1" applyFont="1" applyFill="1" applyBorder="1" applyProtection="1">
      <protection locked="0"/>
    </xf>
    <xf numFmtId="0" fontId="19" fillId="3" borderId="0" xfId="2" applyFont="1" applyFill="1"/>
    <xf numFmtId="0" fontId="9" fillId="2" borderId="17" xfId="2" applyFont="1" applyFill="1" applyBorder="1" applyAlignment="1" applyProtection="1">
      <alignment horizontal="center"/>
      <protection locked="0"/>
    </xf>
    <xf numFmtId="169" fontId="9" fillId="2" borderId="17" xfId="1" applyFont="1" applyFill="1" applyBorder="1" applyProtection="1">
      <protection locked="0"/>
    </xf>
    <xf numFmtId="0" fontId="9" fillId="2" borderId="0" xfId="2" quotePrefix="1" applyFont="1" applyFill="1" applyAlignment="1">
      <alignment horizontal="right"/>
    </xf>
    <xf numFmtId="0" fontId="11" fillId="2" borderId="0" xfId="2" quotePrefix="1" applyFont="1" applyFill="1" applyAlignment="1">
      <alignment horizontal="right"/>
    </xf>
    <xf numFmtId="0" fontId="9" fillId="2" borderId="0" xfId="2" quotePrefix="1" applyFont="1" applyFill="1"/>
    <xf numFmtId="0" fontId="15" fillId="2" borderId="1" xfId="2" applyFont="1" applyFill="1" applyBorder="1"/>
    <xf numFmtId="0" fontId="9" fillId="2" borderId="1" xfId="2" applyFont="1" applyFill="1" applyBorder="1"/>
    <xf numFmtId="4" fontId="13" fillId="2" borderId="13" xfId="1" applyNumberFormat="1" applyFont="1" applyFill="1" applyBorder="1"/>
    <xf numFmtId="49" fontId="9" fillId="2" borderId="16" xfId="2" applyNumberFormat="1" applyFont="1" applyFill="1" applyBorder="1" applyProtection="1">
      <protection locked="0"/>
    </xf>
    <xf numFmtId="49" fontId="9" fillId="2" borderId="0" xfId="2" applyNumberFormat="1" applyFont="1" applyFill="1" applyProtection="1">
      <protection locked="0"/>
    </xf>
    <xf numFmtId="49" fontId="9" fillId="2" borderId="8" xfId="2" applyNumberFormat="1" applyFont="1" applyFill="1" applyBorder="1" applyProtection="1">
      <protection locked="0"/>
    </xf>
    <xf numFmtId="49" fontId="14" fillId="2" borderId="0" xfId="2" applyNumberFormat="1" applyFont="1" applyFill="1" applyBorder="1" applyAlignment="1" applyProtection="1">
      <alignment horizontal="left"/>
      <protection locked="0"/>
    </xf>
    <xf numFmtId="49" fontId="14" fillId="2" borderId="8" xfId="2" applyNumberFormat="1" applyFont="1" applyFill="1" applyBorder="1" applyAlignment="1" applyProtection="1">
      <alignment horizontal="left"/>
      <protection locked="0"/>
    </xf>
    <xf numFmtId="49" fontId="14" fillId="2" borderId="16" xfId="2" applyNumberFormat="1" applyFont="1" applyFill="1" applyBorder="1" applyAlignment="1" applyProtection="1">
      <alignment horizontal="left"/>
      <protection locked="0"/>
    </xf>
    <xf numFmtId="170" fontId="6" fillId="3" borderId="0" xfId="2" applyNumberFormat="1" applyFont="1" applyFill="1"/>
    <xf numFmtId="0" fontId="12" fillId="2" borderId="0" xfId="2" applyFont="1" applyFill="1" applyBorder="1" applyAlignment="1" applyProtection="1">
      <alignment horizontal="left"/>
      <protection locked="0"/>
    </xf>
    <xf numFmtId="0" fontId="12" fillId="2" borderId="8" xfId="2" applyFont="1" applyFill="1" applyBorder="1" applyAlignment="1" applyProtection="1">
      <alignment horizontal="left"/>
      <protection locked="0"/>
    </xf>
    <xf numFmtId="49" fontId="14" fillId="2" borderId="0" xfId="2" applyNumberFormat="1" applyFont="1" applyFill="1" applyAlignment="1" applyProtection="1">
      <protection locked="0"/>
    </xf>
    <xf numFmtId="49" fontId="14" fillId="2" borderId="8" xfId="2" applyNumberFormat="1" applyFont="1" applyFill="1" applyBorder="1" applyAlignment="1" applyProtection="1">
      <protection locked="0"/>
    </xf>
    <xf numFmtId="0" fontId="12" fillId="2" borderId="14" xfId="2" applyFont="1" applyFill="1" applyBorder="1" applyAlignment="1" applyProtection="1">
      <protection locked="0"/>
    </xf>
    <xf numFmtId="0" fontId="12" fillId="2" borderId="18" xfId="2" applyFont="1" applyFill="1" applyBorder="1" applyAlignment="1" applyProtection="1">
      <protection locked="0"/>
    </xf>
    <xf numFmtId="0" fontId="12" fillId="2" borderId="19" xfId="2" applyFont="1" applyFill="1" applyBorder="1" applyAlignment="1" applyProtection="1">
      <protection locked="0"/>
    </xf>
    <xf numFmtId="49" fontId="17" fillId="2" borderId="16" xfId="2" applyNumberFormat="1" applyFont="1" applyFill="1" applyBorder="1" applyProtection="1">
      <protection locked="0"/>
    </xf>
    <xf numFmtId="49" fontId="11" fillId="2" borderId="10" xfId="2" applyNumberFormat="1" applyFont="1" applyFill="1" applyBorder="1" applyAlignment="1" applyProtection="1">
      <protection locked="0"/>
    </xf>
    <xf numFmtId="49" fontId="11" fillId="2" borderId="20" xfId="2" applyNumberFormat="1" applyFont="1" applyFill="1" applyBorder="1" applyAlignment="1" applyProtection="1">
      <protection locked="0"/>
    </xf>
    <xf numFmtId="0" fontId="9" fillId="2" borderId="16" xfId="2" applyFont="1" applyFill="1" applyBorder="1" applyAlignment="1" applyProtection="1">
      <alignment horizontal="left"/>
      <protection locked="0"/>
    </xf>
    <xf numFmtId="0" fontId="11" fillId="2" borderId="0" xfId="2" applyFont="1" applyFill="1" applyAlignment="1" applyProtection="1">
      <protection locked="0"/>
    </xf>
    <xf numFmtId="49" fontId="11" fillId="2" borderId="0" xfId="2" applyNumberFormat="1" applyFont="1" applyFill="1" applyAlignment="1" applyProtection="1">
      <protection locked="0"/>
    </xf>
    <xf numFmtId="17" fontId="11" fillId="2" borderId="0" xfId="2" applyNumberFormat="1" applyFont="1" applyFill="1" applyAlignment="1" applyProtection="1">
      <protection locked="0"/>
    </xf>
    <xf numFmtId="4" fontId="18" fillId="2" borderId="13" xfId="1" applyNumberFormat="1" applyFont="1" applyFill="1" applyBorder="1" applyAlignment="1">
      <alignment horizontal="right"/>
    </xf>
    <xf numFmtId="9" fontId="9" fillId="2" borderId="0" xfId="2" quotePrefix="1" applyNumberFormat="1" applyFont="1" applyFill="1" applyAlignment="1">
      <alignment horizontal="right"/>
    </xf>
    <xf numFmtId="0" fontId="11" fillId="2" borderId="16" xfId="2" applyNumberFormat="1" applyFont="1" applyFill="1" applyBorder="1" applyAlignment="1">
      <alignment horizontal="center"/>
    </xf>
    <xf numFmtId="0" fontId="2" fillId="2" borderId="0" xfId="2" applyFont="1" applyFill="1" applyAlignment="1" applyProtection="1">
      <alignment horizontal="left" vertical="top" wrapText="1"/>
      <protection locked="0"/>
    </xf>
    <xf numFmtId="0" fontId="4" fillId="0" borderId="0" xfId="2" applyFont="1" applyAlignment="1">
      <alignment horizontal="left" vertical="top" wrapText="1"/>
    </xf>
    <xf numFmtId="0" fontId="4" fillId="2" borderId="0" xfId="2" applyFont="1" applyFill="1" applyAlignment="1" applyProtection="1">
      <alignment horizontal="left" vertical="top" wrapText="1"/>
      <protection locked="0"/>
    </xf>
    <xf numFmtId="0" fontId="4" fillId="0" borderId="21" xfId="2" applyFont="1" applyBorder="1" applyAlignment="1">
      <alignment horizontal="left" vertical="top" wrapText="1"/>
    </xf>
    <xf numFmtId="0" fontId="8" fillId="2" borderId="22" xfId="2" applyFont="1" applyFill="1" applyBorder="1"/>
    <xf numFmtId="0" fontId="9" fillId="0" borderId="23" xfId="2" applyFont="1" applyBorder="1"/>
    <xf numFmtId="0" fontId="11" fillId="2" borderId="12" xfId="2" applyFont="1" applyFill="1" applyBorder="1" applyAlignment="1">
      <alignment horizontal="center"/>
    </xf>
    <xf numFmtId="0" fontId="11" fillId="2" borderId="24" xfId="2" applyFont="1" applyFill="1" applyBorder="1" applyAlignment="1">
      <alignment horizontal="center"/>
    </xf>
    <xf numFmtId="0" fontId="11" fillId="2" borderId="25" xfId="2" applyFont="1" applyFill="1" applyBorder="1" applyAlignment="1">
      <alignment horizontal="center"/>
    </xf>
    <xf numFmtId="0" fontId="14" fillId="2" borderId="0" xfId="2" applyFont="1" applyFill="1" applyAlignment="1" applyProtection="1">
      <alignment horizontal="center" vertical="center" wrapText="1"/>
      <protection locked="0"/>
    </xf>
    <xf numFmtId="0" fontId="14" fillId="2" borderId="18" xfId="2" applyFont="1" applyFill="1" applyBorder="1" applyAlignment="1" applyProtection="1">
      <alignment horizontal="center" vertical="center" wrapText="1"/>
      <protection locked="0"/>
    </xf>
    <xf numFmtId="49" fontId="9" fillId="2" borderId="26" xfId="2" applyNumberFormat="1" applyFont="1" applyFill="1" applyBorder="1" applyAlignment="1" applyProtection="1">
      <alignment horizontal="left"/>
      <protection locked="0"/>
    </xf>
    <xf numFmtId="49" fontId="9" fillId="2" borderId="27" xfId="2" applyNumberFormat="1" applyFont="1" applyFill="1" applyBorder="1" applyAlignment="1" applyProtection="1">
      <alignment horizontal="left"/>
      <protection locked="0"/>
    </xf>
    <xf numFmtId="49" fontId="9" fillId="2" borderId="28" xfId="2" applyNumberFormat="1" applyFont="1" applyFill="1" applyBorder="1" applyAlignment="1" applyProtection="1">
      <alignment horizontal="left"/>
      <protection locked="0"/>
    </xf>
    <xf numFmtId="0" fontId="9" fillId="4" borderId="14" xfId="2" applyFont="1" applyFill="1" applyBorder="1" applyAlignment="1" applyProtection="1">
      <alignment vertical="top" wrapText="1"/>
      <protection locked="0"/>
    </xf>
    <xf numFmtId="0" fontId="9" fillId="4" borderId="18" xfId="2" applyFont="1" applyFill="1" applyBorder="1" applyAlignment="1" applyProtection="1">
      <alignment vertical="top" wrapText="1"/>
      <protection locked="0"/>
    </xf>
    <xf numFmtId="0" fontId="9" fillId="4" borderId="19" xfId="2" applyFont="1" applyFill="1" applyBorder="1" applyAlignment="1" applyProtection="1">
      <alignment vertical="top" wrapText="1"/>
      <protection locked="0"/>
    </xf>
    <xf numFmtId="0" fontId="9" fillId="4" borderId="16" xfId="2" applyFont="1" applyFill="1" applyBorder="1" applyAlignment="1" applyProtection="1">
      <alignment vertical="top" wrapText="1"/>
      <protection locked="0"/>
    </xf>
    <xf numFmtId="0" fontId="9" fillId="4" borderId="0" xfId="2" applyFont="1" applyFill="1" applyAlignment="1" applyProtection="1">
      <alignment vertical="top" wrapText="1"/>
      <protection locked="0"/>
    </xf>
    <xf numFmtId="0" fontId="9" fillId="4" borderId="8" xfId="2" applyFont="1" applyFill="1" applyBorder="1" applyAlignment="1" applyProtection="1">
      <alignment vertical="top" wrapText="1"/>
      <protection locked="0"/>
    </xf>
    <xf numFmtId="0" fontId="9" fillId="4" borderId="26" xfId="2" applyFont="1" applyFill="1" applyBorder="1" applyAlignment="1" applyProtection="1">
      <alignment vertical="top" wrapText="1"/>
      <protection locked="0"/>
    </xf>
    <xf numFmtId="0" fontId="9" fillId="4" borderId="27" xfId="2" applyFont="1" applyFill="1" applyBorder="1" applyAlignment="1" applyProtection="1">
      <alignment vertical="top" wrapText="1"/>
      <protection locked="0"/>
    </xf>
    <xf numFmtId="0" fontId="9" fillId="4" borderId="28" xfId="2" applyFont="1" applyFill="1" applyBorder="1" applyAlignment="1" applyProtection="1">
      <alignment vertical="top" wrapText="1"/>
      <protection locked="0"/>
    </xf>
  </cellXfs>
  <cellStyles count="3">
    <cellStyle name="Currency 2" xfId="1"/>
    <cellStyle name="Normal" xfId="0" builtinId="0"/>
    <cellStyle name="Normal 2" xfId="2"/>
  </cellStyles>
  <dxfs count="19"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  <dxf>
      <numFmt numFmtId="172" formatCode=";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.gh/imgres?imgurl=https://www.fronius.com/internet/img/logo_fronius_en.gif&amp;imgrefurl=https://www.fronius.com/&amp;docid=-TQ1YE_6B3SF2M&amp;tbnid=WuPudtPIE2N1PM:&amp;w=141&amp;h=55&amp;bih=612&amp;biw=1366&amp;ved=0ahUKEwjnm6L0w5vMAhUEiRoKHZalAlEQMwgrKAwwDA&amp;iact=mrc&amp;uact=8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1003300</xdr:colOff>
      <xdr:row>5</xdr:row>
      <xdr:rowOff>139700</xdr:rowOff>
    </xdr:from>
    <xdr:to>
      <xdr:col>11</xdr:col>
      <xdr:colOff>1371600</xdr:colOff>
      <xdr:row>8</xdr:row>
      <xdr:rowOff>0</xdr:rowOff>
    </xdr:to>
    <xdr:pic>
      <xdr:nvPicPr>
        <xdr:cNvPr id="1950" name="Picture 6" descr="ASEA Power Logo">
          <a:extLst>
            <a:ext uri="{FF2B5EF4-FFF2-40B4-BE49-F238E27FC236}">
              <a16:creationId xmlns:a16="http://schemas.microsoft.com/office/drawing/2014/main" id="{E87E342D-2B1D-F421-0818-73B2D1943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0" y="1054100"/>
          <a:ext cx="1536700" cy="63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292100</xdr:colOff>
      <xdr:row>5</xdr:row>
      <xdr:rowOff>165100</xdr:rowOff>
    </xdr:from>
    <xdr:to>
      <xdr:col>10</xdr:col>
      <xdr:colOff>673100</xdr:colOff>
      <xdr:row>7</xdr:row>
      <xdr:rowOff>114300</xdr:rowOff>
    </xdr:to>
    <xdr:pic>
      <xdr:nvPicPr>
        <xdr:cNvPr id="1951" name="Picture 1">
          <a:extLst>
            <a:ext uri="{FF2B5EF4-FFF2-40B4-BE49-F238E27FC236}">
              <a16:creationId xmlns:a16="http://schemas.microsoft.com/office/drawing/2014/main" id="{D26C1F16-00F6-EB41-CB6F-56729DB4BE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00" y="1079500"/>
          <a:ext cx="14605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10</xdr:col>
      <xdr:colOff>1003300</xdr:colOff>
      <xdr:row>2</xdr:row>
      <xdr:rowOff>152400</xdr:rowOff>
    </xdr:from>
    <xdr:to>
      <xdr:col>11</xdr:col>
      <xdr:colOff>1181100</xdr:colOff>
      <xdr:row>4</xdr:row>
      <xdr:rowOff>177800</xdr:rowOff>
    </xdr:to>
    <xdr:pic>
      <xdr:nvPicPr>
        <xdr:cNvPr id="1952" name="Picture 10" descr="Image result for fronius log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7E959D3-1EC9-9552-694C-5378BE970D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0" y="533400"/>
          <a:ext cx="1346200" cy="368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63500</xdr:colOff>
      <xdr:row>1</xdr:row>
      <xdr:rowOff>152400</xdr:rowOff>
    </xdr:from>
    <xdr:to>
      <xdr:col>10</xdr:col>
      <xdr:colOff>977900</xdr:colOff>
      <xdr:row>4</xdr:row>
      <xdr:rowOff>101600</xdr:rowOff>
    </xdr:to>
    <xdr:pic>
      <xdr:nvPicPr>
        <xdr:cNvPr id="1953" name="Picture 3">
          <a:extLst>
            <a:ext uri="{FF2B5EF4-FFF2-40B4-BE49-F238E27FC236}">
              <a16:creationId xmlns:a16="http://schemas.microsoft.com/office/drawing/2014/main" id="{7A848913-12CE-8A0D-D788-BD7C15492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38900" y="342900"/>
          <a:ext cx="1993900" cy="482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546100</xdr:colOff>
      <xdr:row>1</xdr:row>
      <xdr:rowOff>12700</xdr:rowOff>
    </xdr:from>
    <xdr:to>
      <xdr:col>7</xdr:col>
      <xdr:colOff>203200</xdr:colOff>
      <xdr:row>4</xdr:row>
      <xdr:rowOff>177800</xdr:rowOff>
    </xdr:to>
    <xdr:pic>
      <xdr:nvPicPr>
        <xdr:cNvPr id="1954" name="Picture 4">
          <a:extLst>
            <a:ext uri="{FF2B5EF4-FFF2-40B4-BE49-F238E27FC236}">
              <a16:creationId xmlns:a16="http://schemas.microsoft.com/office/drawing/2014/main" id="{DE3F0E85-927E-41DE-A423-D10A56DF3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4500" y="203200"/>
          <a:ext cx="1651000" cy="698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posti/AppData/Local/Microsoft/Windows/INetCache/Content.Outlook/16NEKQ8T/Users/Tino%20Solutions%20Ltd/Desktop/TINO/PROJECTS/PROF.%20JOPHUS%20ANAMUAH-MENSAH/LOAD%20SIZING%20-%20PROF.%20JOPHUS%20ANAMUAH-MENSAH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VEY"/>
      <sheetName val="KOMBATE"/>
      <sheetName val="INVOICE"/>
      <sheetName val="PRICE LIST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DP83"/>
  <sheetViews>
    <sheetView showGridLines="0" tabSelected="1" zoomScaleNormal="100" workbookViewId="0">
      <selection activeCell="L15" sqref="L15"/>
    </sheetView>
  </sheetViews>
  <sheetFormatPr baseColWidth="10" defaultColWidth="8.83203125" defaultRowHeight="15"/>
  <cols>
    <col min="1" max="1" width="5" style="2" customWidth="1"/>
    <col min="2" max="2" width="10" style="2" customWidth="1"/>
    <col min="3" max="3" width="18.5" style="2" customWidth="1"/>
    <col min="4" max="4" width="9.1640625" style="2" customWidth="1"/>
    <col min="5" max="5" width="6" style="2" customWidth="1"/>
    <col min="6" max="6" width="16.33203125" style="2" customWidth="1"/>
    <col min="7" max="7" width="9.83203125" style="2" customWidth="1"/>
    <col min="8" max="8" width="8.83203125" style="2" customWidth="1"/>
    <col min="9" max="9" width="2.33203125" style="2" hidden="1" customWidth="1"/>
    <col min="10" max="10" width="14.1640625" style="2" customWidth="1"/>
    <col min="11" max="11" width="15.33203125" style="2" customWidth="1"/>
    <col min="12" max="12" width="20.1640625" style="2" customWidth="1"/>
    <col min="13" max="13" width="5" style="31" customWidth="1"/>
    <col min="14" max="120" width="9.1640625" style="31" customWidth="1"/>
  </cols>
  <sheetData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12.75" customHeight="1">
      <c r="A3" s="1"/>
      <c r="B3" s="73" t="s">
        <v>0</v>
      </c>
      <c r="C3" s="74"/>
      <c r="D3" s="74"/>
      <c r="E3" s="74"/>
      <c r="F3" s="3"/>
      <c r="G3" s="3"/>
      <c r="H3" s="3"/>
      <c r="I3" s="3"/>
      <c r="J3" s="4"/>
      <c r="K3" s="1"/>
      <c r="L3" s="5" t="s">
        <v>1</v>
      </c>
    </row>
    <row r="4" spans="1:12">
      <c r="A4" s="1"/>
      <c r="B4" s="75"/>
      <c r="C4" s="74"/>
      <c r="D4" s="74"/>
      <c r="E4" s="74"/>
      <c r="F4" s="7"/>
      <c r="G4" s="8"/>
      <c r="H4" s="3"/>
      <c r="J4" s="4"/>
      <c r="K4" s="8"/>
      <c r="L4" s="6"/>
    </row>
    <row r="5" spans="1:12">
      <c r="A5" s="1"/>
      <c r="B5" s="75"/>
      <c r="C5" s="74"/>
      <c r="D5" s="74"/>
      <c r="E5" s="74"/>
      <c r="F5" s="3"/>
      <c r="G5" s="3"/>
      <c r="H5" s="3"/>
      <c r="I5" s="3"/>
      <c r="J5" s="1"/>
      <c r="K5" s="1"/>
      <c r="L5" s="8"/>
    </row>
    <row r="6" spans="1:12" ht="24.75" customHeight="1" thickBot="1">
      <c r="A6" s="1"/>
      <c r="B6" s="75"/>
      <c r="C6" s="74"/>
      <c r="D6" s="74"/>
      <c r="E6" s="74"/>
      <c r="F6" s="3"/>
      <c r="G6" s="3"/>
      <c r="H6" s="3"/>
      <c r="I6" s="3"/>
      <c r="J6" s="1"/>
      <c r="K6" s="1"/>
      <c r="L6" s="1"/>
    </row>
    <row r="7" spans="1:12" ht="25.5" customHeight="1" thickTop="1" thickBot="1">
      <c r="A7" s="1"/>
      <c r="B7" s="76"/>
      <c r="C7" s="76"/>
      <c r="D7" s="76"/>
      <c r="E7" s="76"/>
      <c r="F7" s="77" t="s">
        <v>2</v>
      </c>
      <c r="G7" s="78"/>
      <c r="H7" s="1"/>
      <c r="I7" s="1"/>
      <c r="J7" s="1"/>
      <c r="K7" s="9"/>
      <c r="L7" s="1"/>
    </row>
    <row r="8" spans="1:12" ht="12.75" customHeight="1" thickTop="1">
      <c r="A8" s="1"/>
      <c r="B8" s="10"/>
      <c r="C8" s="10"/>
      <c r="D8" s="10"/>
      <c r="E8" s="10"/>
      <c r="F8" s="11"/>
      <c r="G8" s="11"/>
      <c r="H8" s="11"/>
      <c r="I8" s="11"/>
      <c r="J8" s="11"/>
      <c r="K8" s="11"/>
      <c r="L8" s="11"/>
    </row>
    <row r="9" spans="1:12" ht="12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13.5" customHeight="1" thickBot="1">
      <c r="A10" s="1"/>
      <c r="B10" s="1"/>
      <c r="C10" s="1"/>
      <c r="D10" s="4"/>
      <c r="E10" s="1"/>
      <c r="F10" s="1"/>
      <c r="G10" s="1"/>
      <c r="H10" s="1"/>
      <c r="I10" s="1"/>
      <c r="J10" s="1"/>
      <c r="K10" s="1"/>
      <c r="L10" s="1"/>
    </row>
    <row r="11" spans="1:12" ht="13.5" customHeight="1" thickBot="1">
      <c r="A11" s="1"/>
      <c r="B11" s="12" t="s">
        <v>3</v>
      </c>
      <c r="C11" s="13"/>
      <c r="D11" s="14"/>
      <c r="E11" s="14"/>
      <c r="F11" s="14"/>
      <c r="G11" s="14"/>
      <c r="H11" s="15"/>
      <c r="I11" s="16"/>
      <c r="J11" s="16"/>
      <c r="K11" s="12" t="s">
        <v>4</v>
      </c>
      <c r="L11" s="17"/>
    </row>
    <row r="12" spans="1:12" ht="6" customHeight="1">
      <c r="A12" s="1"/>
      <c r="B12" s="16"/>
      <c r="C12" s="16"/>
      <c r="D12" s="16"/>
      <c r="E12" s="16"/>
      <c r="F12" s="16"/>
      <c r="G12" s="16"/>
      <c r="H12" s="18"/>
      <c r="I12" s="16"/>
      <c r="J12" s="16"/>
      <c r="K12" s="16"/>
      <c r="L12" s="18"/>
    </row>
    <row r="13" spans="1:12">
      <c r="A13" s="1"/>
      <c r="B13" s="16" t="s">
        <v>5</v>
      </c>
      <c r="C13" s="64"/>
      <c r="D13" s="64"/>
      <c r="E13" s="64"/>
      <c r="F13" s="64"/>
      <c r="G13" s="64"/>
      <c r="H13" s="18"/>
      <c r="I13" s="16"/>
      <c r="J13" s="16"/>
      <c r="K13" s="16" t="s">
        <v>6</v>
      </c>
      <c r="L13" s="19">
        <f ca="1">TODAY()</f>
        <v>45613</v>
      </c>
    </row>
    <row r="14" spans="1:12">
      <c r="A14" s="1"/>
      <c r="B14" s="16" t="s">
        <v>7</v>
      </c>
      <c r="C14" s="65"/>
      <c r="D14" s="65"/>
      <c r="E14" s="65"/>
      <c r="F14" s="65"/>
      <c r="G14" s="65"/>
      <c r="H14" s="18"/>
      <c r="I14" s="16"/>
      <c r="J14" s="16"/>
      <c r="K14" s="16" t="s">
        <v>8</v>
      </c>
      <c r="L14" s="20" t="s">
        <v>66</v>
      </c>
    </row>
    <row r="15" spans="1:12">
      <c r="A15" s="1"/>
      <c r="B15" s="16" t="s">
        <v>9</v>
      </c>
      <c r="C15" s="21"/>
      <c r="D15" s="22"/>
      <c r="E15" s="23"/>
      <c r="F15" s="22"/>
      <c r="G15" s="23"/>
      <c r="H15" s="18"/>
      <c r="I15" s="16"/>
      <c r="J15" s="16"/>
      <c r="K15" s="16" t="s">
        <v>10</v>
      </c>
      <c r="L15" s="24" t="s">
        <v>33</v>
      </c>
    </row>
    <row r="16" spans="1:12">
      <c r="A16" s="1"/>
      <c r="B16" s="16" t="s">
        <v>11</v>
      </c>
      <c r="C16" s="64" t="s">
        <v>1</v>
      </c>
      <c r="D16" s="64"/>
      <c r="E16" s="64"/>
      <c r="F16" s="64"/>
      <c r="G16" s="64"/>
      <c r="H16" s="18"/>
      <c r="I16" s="16"/>
      <c r="J16" s="16"/>
      <c r="K16" s="16" t="s">
        <v>12</v>
      </c>
      <c r="L16" s="24" t="s">
        <v>34</v>
      </c>
    </row>
    <row r="17" spans="1:14">
      <c r="A17" s="1"/>
      <c r="B17" s="16"/>
      <c r="C17" s="25"/>
      <c r="D17" s="25"/>
      <c r="E17" s="25"/>
      <c r="F17" s="25"/>
      <c r="G17" s="25"/>
      <c r="H17" s="16"/>
      <c r="I17" s="16"/>
      <c r="J17" s="16"/>
      <c r="K17" s="16"/>
      <c r="L17" s="16"/>
    </row>
    <row r="18" spans="1:14">
      <c r="A18" s="1"/>
      <c r="B18" s="26" t="s">
        <v>13</v>
      </c>
      <c r="C18" s="79" t="s">
        <v>14</v>
      </c>
      <c r="D18" s="80"/>
      <c r="E18" s="80"/>
      <c r="F18" s="80"/>
      <c r="G18" s="80"/>
      <c r="H18" s="80"/>
      <c r="I18" s="80"/>
      <c r="J18" s="81"/>
      <c r="K18" s="26" t="s">
        <v>15</v>
      </c>
      <c r="L18" s="27" t="s">
        <v>16</v>
      </c>
    </row>
    <row r="19" spans="1:14" s="31" customFormat="1" ht="13">
      <c r="A19" s="4"/>
      <c r="B19" s="28"/>
      <c r="C19" s="60" t="s">
        <v>40</v>
      </c>
      <c r="D19" s="61"/>
      <c r="E19" s="61"/>
      <c r="F19" s="61"/>
      <c r="G19" s="61"/>
      <c r="H19" s="61"/>
      <c r="I19" s="61"/>
      <c r="J19" s="62"/>
      <c r="K19" s="29"/>
      <c r="L19" s="30"/>
    </row>
    <row r="20" spans="1:14" s="31" customFormat="1" ht="13">
      <c r="A20" s="4"/>
      <c r="B20" s="32">
        <v>3</v>
      </c>
      <c r="C20" s="66" t="s">
        <v>38</v>
      </c>
      <c r="D20" s="56"/>
      <c r="E20" s="56"/>
      <c r="F20" s="56"/>
      <c r="G20" s="56"/>
      <c r="H20" s="56"/>
      <c r="I20" s="56"/>
      <c r="J20" s="57"/>
      <c r="K20" s="35">
        <v>36429.195</v>
      </c>
      <c r="L20" s="34">
        <f>IFERROR(SUM(B20*K20),"")</f>
        <v>109287.58499999999</v>
      </c>
    </row>
    <row r="21" spans="1:14">
      <c r="A21" s="1"/>
      <c r="B21" s="32">
        <v>8</v>
      </c>
      <c r="C21" s="49" t="s">
        <v>41</v>
      </c>
      <c r="D21" s="50"/>
      <c r="E21" s="50"/>
      <c r="F21" s="50"/>
      <c r="G21" s="50"/>
      <c r="H21" s="50"/>
      <c r="I21" s="50"/>
      <c r="J21" s="51"/>
      <c r="K21" s="35">
        <v>18768.75</v>
      </c>
      <c r="L21" s="34">
        <f t="shared" ref="L21:L67" si="0">IFERROR(SUM(B21*K21),"")</f>
        <v>150150</v>
      </c>
      <c r="N21" s="55"/>
    </row>
    <row r="22" spans="1:14">
      <c r="A22" s="1"/>
      <c r="B22" s="32">
        <v>1</v>
      </c>
      <c r="C22" s="49" t="s">
        <v>24</v>
      </c>
      <c r="D22" s="50"/>
      <c r="E22" s="50"/>
      <c r="F22" s="50"/>
      <c r="G22" s="50"/>
      <c r="H22" s="50"/>
      <c r="I22" s="50"/>
      <c r="J22" s="51"/>
      <c r="K22" s="35">
        <v>2685.375</v>
      </c>
      <c r="L22" s="34">
        <f t="shared" si="0"/>
        <v>2685.375</v>
      </c>
      <c r="N22" s="55"/>
    </row>
    <row r="23" spans="1:14">
      <c r="A23" s="1"/>
      <c r="B23" s="32">
        <v>36</v>
      </c>
      <c r="C23" s="49" t="s">
        <v>42</v>
      </c>
      <c r="D23" s="50"/>
      <c r="E23" s="50"/>
      <c r="F23" s="50"/>
      <c r="G23" s="50"/>
      <c r="H23" s="50"/>
      <c r="I23" s="50"/>
      <c r="J23" s="51"/>
      <c r="K23" s="35">
        <v>1923.075</v>
      </c>
      <c r="L23" s="34">
        <f t="shared" si="0"/>
        <v>69230.7</v>
      </c>
      <c r="N23" s="55"/>
    </row>
    <row r="24" spans="1:14">
      <c r="A24" s="1"/>
      <c r="B24" s="32">
        <v>3</v>
      </c>
      <c r="C24" s="49" t="s">
        <v>43</v>
      </c>
      <c r="D24" s="50"/>
      <c r="E24" s="50"/>
      <c r="F24" s="50"/>
      <c r="G24" s="50"/>
      <c r="H24" s="50"/>
      <c r="I24" s="50"/>
      <c r="J24" s="51"/>
      <c r="K24" s="35">
        <v>10221.09</v>
      </c>
      <c r="L24" s="34">
        <f t="shared" si="0"/>
        <v>30663.27</v>
      </c>
      <c r="N24" s="55"/>
    </row>
    <row r="25" spans="1:14">
      <c r="A25" s="1"/>
      <c r="B25" s="32">
        <v>1</v>
      </c>
      <c r="C25" s="49" t="s">
        <v>44</v>
      </c>
      <c r="D25" s="50"/>
      <c r="E25" s="50"/>
      <c r="F25" s="50"/>
      <c r="G25" s="50"/>
      <c r="H25" s="50"/>
      <c r="I25" s="50"/>
      <c r="J25" s="51"/>
      <c r="K25" s="35">
        <v>4588.9800000000005</v>
      </c>
      <c r="L25" s="34">
        <f t="shared" si="0"/>
        <v>4588.9800000000005</v>
      </c>
      <c r="N25" s="55"/>
    </row>
    <row r="26" spans="1:14">
      <c r="A26" s="1"/>
      <c r="B26" s="72">
        <v>1</v>
      </c>
      <c r="C26" s="49" t="s">
        <v>45</v>
      </c>
      <c r="D26" s="50"/>
      <c r="E26" s="50"/>
      <c r="F26" s="50"/>
      <c r="G26" s="50"/>
      <c r="H26" s="50"/>
      <c r="I26" s="50"/>
      <c r="J26" s="51"/>
      <c r="K26" s="35">
        <v>253.10999999999999</v>
      </c>
      <c r="L26" s="34">
        <f t="shared" si="0"/>
        <v>253.10999999999999</v>
      </c>
      <c r="N26" s="55"/>
    </row>
    <row r="27" spans="1:14">
      <c r="A27" s="1"/>
      <c r="B27" s="32">
        <v>2</v>
      </c>
      <c r="C27" s="49" t="s">
        <v>46</v>
      </c>
      <c r="D27" s="50"/>
      <c r="E27" s="50"/>
      <c r="F27" s="50"/>
      <c r="G27" s="50"/>
      <c r="H27" s="50"/>
      <c r="I27" s="50"/>
      <c r="J27" s="51"/>
      <c r="K27" s="35">
        <v>2175.36</v>
      </c>
      <c r="L27" s="34">
        <f t="shared" si="0"/>
        <v>4350.72</v>
      </c>
      <c r="N27" s="55"/>
    </row>
    <row r="28" spans="1:14">
      <c r="A28" s="1"/>
      <c r="B28" s="32">
        <v>3</v>
      </c>
      <c r="C28" s="49" t="s">
        <v>47</v>
      </c>
      <c r="D28" s="50"/>
      <c r="E28" s="50"/>
      <c r="F28" s="50"/>
      <c r="G28" s="50"/>
      <c r="H28" s="50"/>
      <c r="I28" s="50"/>
      <c r="J28" s="51"/>
      <c r="K28" s="35">
        <v>2085.9299999999998</v>
      </c>
      <c r="L28" s="34">
        <f t="shared" si="0"/>
        <v>6257.7899999999991</v>
      </c>
      <c r="N28" s="55"/>
    </row>
    <row r="29" spans="1:14">
      <c r="A29" s="1"/>
      <c r="B29" s="32">
        <v>1</v>
      </c>
      <c r="C29" s="49" t="s">
        <v>48</v>
      </c>
      <c r="D29" s="50"/>
      <c r="E29" s="50"/>
      <c r="F29" s="50"/>
      <c r="G29" s="50"/>
      <c r="H29" s="50"/>
      <c r="I29" s="50"/>
      <c r="J29" s="51"/>
      <c r="K29" s="35">
        <v>1518.4950000000001</v>
      </c>
      <c r="L29" s="34">
        <f t="shared" si="0"/>
        <v>1518.4950000000001</v>
      </c>
      <c r="N29" s="55"/>
    </row>
    <row r="30" spans="1:14">
      <c r="A30" s="1"/>
      <c r="B30" s="32">
        <v>90</v>
      </c>
      <c r="C30" s="49" t="s">
        <v>35</v>
      </c>
      <c r="D30" s="50"/>
      <c r="E30" s="50"/>
      <c r="F30" s="50"/>
      <c r="G30" s="50"/>
      <c r="H30" s="50"/>
      <c r="I30" s="50"/>
      <c r="J30" s="51"/>
      <c r="K30" s="35">
        <v>16.830000000000002</v>
      </c>
      <c r="L30" s="34">
        <f t="shared" si="0"/>
        <v>1514.7000000000003</v>
      </c>
      <c r="N30" s="55"/>
    </row>
    <row r="31" spans="1:14">
      <c r="A31" s="1"/>
      <c r="B31" s="32">
        <v>180</v>
      </c>
      <c r="C31" s="49" t="s">
        <v>25</v>
      </c>
      <c r="D31" s="50"/>
      <c r="E31" s="50"/>
      <c r="F31" s="50"/>
      <c r="G31" s="50"/>
      <c r="H31" s="50"/>
      <c r="I31" s="50"/>
      <c r="J31" s="51"/>
      <c r="K31" s="35">
        <v>38.774999999999999</v>
      </c>
      <c r="L31" s="34">
        <f t="shared" si="0"/>
        <v>6979.5</v>
      </c>
      <c r="N31" s="55"/>
    </row>
    <row r="32" spans="1:14">
      <c r="A32" s="1"/>
      <c r="B32" s="32">
        <v>40</v>
      </c>
      <c r="C32" s="49" t="s">
        <v>26</v>
      </c>
      <c r="D32" s="50"/>
      <c r="E32" s="50"/>
      <c r="F32" s="50"/>
      <c r="G32" s="50"/>
      <c r="H32" s="50"/>
      <c r="I32" s="50"/>
      <c r="J32" s="51"/>
      <c r="K32" s="35">
        <v>74.745000000000005</v>
      </c>
      <c r="L32" s="34">
        <f t="shared" si="0"/>
        <v>2989.8</v>
      </c>
      <c r="N32" s="55"/>
    </row>
    <row r="33" spans="1:14">
      <c r="A33" s="1"/>
      <c r="B33" s="32">
        <v>15</v>
      </c>
      <c r="C33" s="49" t="s">
        <v>36</v>
      </c>
      <c r="D33" s="50"/>
      <c r="E33" s="50"/>
      <c r="F33" s="50"/>
      <c r="G33" s="50"/>
      <c r="H33" s="50"/>
      <c r="I33" s="50"/>
      <c r="J33" s="51"/>
      <c r="K33" s="35">
        <v>136.125</v>
      </c>
      <c r="L33" s="34">
        <f t="shared" si="0"/>
        <v>2041.875</v>
      </c>
      <c r="N33" s="55"/>
    </row>
    <row r="34" spans="1:14">
      <c r="A34" s="1"/>
      <c r="B34" s="32">
        <v>15</v>
      </c>
      <c r="C34" s="49" t="s">
        <v>49</v>
      </c>
      <c r="D34" s="50"/>
      <c r="E34" s="50"/>
      <c r="F34" s="50"/>
      <c r="G34" s="50"/>
      <c r="H34" s="50"/>
      <c r="I34" s="50"/>
      <c r="J34" s="51"/>
      <c r="K34" s="35">
        <v>210.375</v>
      </c>
      <c r="L34" s="34">
        <f t="shared" si="0"/>
        <v>3155.625</v>
      </c>
      <c r="N34" s="55"/>
    </row>
    <row r="35" spans="1:14">
      <c r="A35" s="1"/>
      <c r="B35" s="32">
        <v>70</v>
      </c>
      <c r="C35" s="49" t="s">
        <v>50</v>
      </c>
      <c r="D35" s="50"/>
      <c r="E35" s="50"/>
      <c r="F35" s="50"/>
      <c r="G35" s="50"/>
      <c r="H35" s="50"/>
      <c r="I35" s="50"/>
      <c r="J35" s="51"/>
      <c r="K35" s="35">
        <v>419.76000000000005</v>
      </c>
      <c r="L35" s="34">
        <f t="shared" si="0"/>
        <v>29383.200000000004</v>
      </c>
      <c r="N35" s="55"/>
    </row>
    <row r="36" spans="1:14">
      <c r="A36" s="1"/>
      <c r="B36" s="32">
        <v>65</v>
      </c>
      <c r="C36" s="49" t="s">
        <v>27</v>
      </c>
      <c r="D36" s="50"/>
      <c r="E36" s="50"/>
      <c r="F36" s="50"/>
      <c r="G36" s="50"/>
      <c r="H36" s="50"/>
      <c r="I36" s="50"/>
      <c r="J36" s="51"/>
      <c r="K36" s="35">
        <v>36.300000000000004</v>
      </c>
      <c r="L36" s="34">
        <f t="shared" si="0"/>
        <v>2359.5000000000005</v>
      </c>
      <c r="N36" s="55"/>
    </row>
    <row r="37" spans="1:14">
      <c r="A37" s="1"/>
      <c r="B37" s="32">
        <v>3</v>
      </c>
      <c r="C37" s="49" t="s">
        <v>51</v>
      </c>
      <c r="D37" s="50"/>
      <c r="E37" s="50"/>
      <c r="F37" s="50"/>
      <c r="G37" s="50"/>
      <c r="H37" s="50"/>
      <c r="I37" s="50"/>
      <c r="J37" s="51"/>
      <c r="K37" s="35">
        <v>208.56</v>
      </c>
      <c r="L37" s="34">
        <f t="shared" si="0"/>
        <v>625.68000000000006</v>
      </c>
      <c r="N37" s="55"/>
    </row>
    <row r="38" spans="1:14">
      <c r="A38" s="1"/>
      <c r="B38" s="32">
        <v>3</v>
      </c>
      <c r="C38" s="49" t="s">
        <v>52</v>
      </c>
      <c r="D38" s="50"/>
      <c r="E38" s="50"/>
      <c r="F38" s="50"/>
      <c r="G38" s="50"/>
      <c r="H38" s="50"/>
      <c r="I38" s="50"/>
      <c r="J38" s="51"/>
      <c r="K38" s="35">
        <v>223.57500000000002</v>
      </c>
      <c r="L38" s="34">
        <f t="shared" si="0"/>
        <v>670.72500000000002</v>
      </c>
      <c r="N38" s="55"/>
    </row>
    <row r="39" spans="1:14">
      <c r="A39" s="1"/>
      <c r="B39" s="32">
        <v>1</v>
      </c>
      <c r="C39" s="49" t="s">
        <v>28</v>
      </c>
      <c r="D39" s="50"/>
      <c r="E39" s="50"/>
      <c r="F39" s="50"/>
      <c r="G39" s="50"/>
      <c r="H39" s="50"/>
      <c r="I39" s="50"/>
      <c r="J39" s="51"/>
      <c r="K39" s="35">
        <v>238.42499999999998</v>
      </c>
      <c r="L39" s="34">
        <f t="shared" si="0"/>
        <v>238.42499999999998</v>
      </c>
      <c r="N39" s="55"/>
    </row>
    <row r="40" spans="1:14">
      <c r="A40" s="1"/>
      <c r="B40" s="32">
        <v>1</v>
      </c>
      <c r="C40" s="49" t="s">
        <v>53</v>
      </c>
      <c r="D40" s="50"/>
      <c r="E40" s="50"/>
      <c r="F40" s="50"/>
      <c r="G40" s="50"/>
      <c r="H40" s="50"/>
      <c r="I40" s="50"/>
      <c r="J40" s="51"/>
      <c r="K40" s="35">
        <v>1986.6000000000001</v>
      </c>
      <c r="L40" s="34">
        <f>IFERROR(SUM(B40*K40),"")</f>
        <v>1986.6000000000001</v>
      </c>
      <c r="N40" s="55"/>
    </row>
    <row r="41" spans="1:14">
      <c r="A41" s="1"/>
      <c r="B41" s="32">
        <v>2</v>
      </c>
      <c r="C41" s="49" t="s">
        <v>54</v>
      </c>
      <c r="D41" s="50"/>
      <c r="E41" s="50"/>
      <c r="F41" s="50"/>
      <c r="G41" s="50"/>
      <c r="H41" s="50"/>
      <c r="I41" s="50"/>
      <c r="J41" s="51"/>
      <c r="K41" s="35">
        <v>825</v>
      </c>
      <c r="L41" s="34">
        <f t="shared" si="0"/>
        <v>1650</v>
      </c>
      <c r="N41" s="55"/>
    </row>
    <row r="42" spans="1:14">
      <c r="A42" s="1"/>
      <c r="B42" s="32">
        <v>14</v>
      </c>
      <c r="C42" s="49" t="s">
        <v>37</v>
      </c>
      <c r="D42" s="50"/>
      <c r="E42" s="50"/>
      <c r="F42" s="50"/>
      <c r="G42" s="50"/>
      <c r="H42" s="50"/>
      <c r="I42" s="50"/>
      <c r="J42" s="51"/>
      <c r="K42" s="35">
        <v>148.99499999999998</v>
      </c>
      <c r="L42" s="34">
        <f t="shared" si="0"/>
        <v>2085.9299999999998</v>
      </c>
      <c r="N42" s="55"/>
    </row>
    <row r="43" spans="1:14">
      <c r="A43" s="1"/>
      <c r="B43" s="32">
        <v>1</v>
      </c>
      <c r="C43" s="49" t="s">
        <v>29</v>
      </c>
      <c r="D43" s="50"/>
      <c r="E43" s="50"/>
      <c r="F43" s="50"/>
      <c r="G43" s="50"/>
      <c r="H43" s="50"/>
      <c r="I43" s="50"/>
      <c r="J43" s="51"/>
      <c r="K43" s="35">
        <v>279.66101694910503</v>
      </c>
      <c r="L43" s="34">
        <f t="shared" si="0"/>
        <v>279.66101694910503</v>
      </c>
      <c r="N43" s="55"/>
    </row>
    <row r="44" spans="1:14">
      <c r="A44" s="1"/>
      <c r="B44" s="32">
        <v>9</v>
      </c>
      <c r="C44" s="49" t="s">
        <v>55</v>
      </c>
      <c r="D44" s="50"/>
      <c r="E44" s="50"/>
      <c r="F44" s="50"/>
      <c r="G44" s="50"/>
      <c r="H44" s="50"/>
      <c r="I44" s="50"/>
      <c r="J44" s="51"/>
      <c r="K44" s="35">
        <v>1419</v>
      </c>
      <c r="L44" s="34">
        <f t="shared" si="0"/>
        <v>12771</v>
      </c>
      <c r="N44" s="55"/>
    </row>
    <row r="45" spans="1:14">
      <c r="A45" s="1"/>
      <c r="B45" s="32">
        <v>1</v>
      </c>
      <c r="C45" s="49" t="s">
        <v>56</v>
      </c>
      <c r="D45" s="50"/>
      <c r="E45" s="50"/>
      <c r="F45" s="50"/>
      <c r="G45" s="50"/>
      <c r="H45" s="50"/>
      <c r="I45" s="50"/>
      <c r="J45" s="51"/>
      <c r="K45" s="35">
        <v>4194.96</v>
      </c>
      <c r="L45" s="34">
        <f t="shared" si="0"/>
        <v>4194.96</v>
      </c>
      <c r="N45" s="55"/>
    </row>
    <row r="46" spans="1:14">
      <c r="A46" s="1"/>
      <c r="B46" s="32">
        <v>1</v>
      </c>
      <c r="C46" s="49" t="s">
        <v>30</v>
      </c>
      <c r="D46" s="50"/>
      <c r="E46" s="50"/>
      <c r="F46" s="50"/>
      <c r="G46" s="50"/>
      <c r="H46" s="50"/>
      <c r="I46" s="50"/>
      <c r="J46" s="51"/>
      <c r="K46" s="35">
        <v>2828.1</v>
      </c>
      <c r="L46" s="34">
        <f t="shared" si="0"/>
        <v>2828.1</v>
      </c>
      <c r="N46" s="55"/>
    </row>
    <row r="47" spans="1:14">
      <c r="A47" s="1"/>
      <c r="B47" s="32">
        <v>1</v>
      </c>
      <c r="C47" s="49" t="s">
        <v>57</v>
      </c>
      <c r="D47" s="50"/>
      <c r="E47" s="50"/>
      <c r="F47" s="50"/>
      <c r="G47" s="50"/>
      <c r="H47" s="50"/>
      <c r="I47" s="50"/>
      <c r="J47" s="51"/>
      <c r="K47" s="35">
        <v>10606.2</v>
      </c>
      <c r="L47" s="34">
        <f t="shared" si="0"/>
        <v>10606.2</v>
      </c>
      <c r="N47" s="55"/>
    </row>
    <row r="48" spans="1:14">
      <c r="A48" s="1"/>
      <c r="B48" s="32" t="s">
        <v>1</v>
      </c>
      <c r="C48" s="49" t="s">
        <v>1</v>
      </c>
      <c r="D48" s="50"/>
      <c r="E48" s="50"/>
      <c r="F48" s="50"/>
      <c r="G48" s="50"/>
      <c r="H48" s="50"/>
      <c r="I48" s="50"/>
      <c r="J48" s="51"/>
      <c r="K48" s="35"/>
      <c r="L48" s="34" t="str">
        <f t="shared" si="0"/>
        <v/>
      </c>
    </row>
    <row r="49" spans="1:120">
      <c r="A49" s="1"/>
      <c r="B49" s="32" t="s">
        <v>1</v>
      </c>
      <c r="C49" s="63" t="s">
        <v>1</v>
      </c>
      <c r="D49" s="50"/>
      <c r="E49" s="50"/>
      <c r="F49" s="50"/>
      <c r="G49" s="50"/>
      <c r="H49" s="50"/>
      <c r="I49" s="50"/>
      <c r="J49" s="51"/>
      <c r="K49" s="35"/>
      <c r="L49" s="34" t="str">
        <f t="shared" si="0"/>
        <v/>
      </c>
    </row>
    <row r="50" spans="1:120">
      <c r="A50" s="1"/>
      <c r="B50" s="32"/>
      <c r="C50" s="49"/>
      <c r="D50" s="50"/>
      <c r="E50" s="50"/>
      <c r="F50" s="50"/>
      <c r="G50" s="50"/>
      <c r="H50" s="50"/>
      <c r="I50" s="50"/>
      <c r="J50" s="51"/>
      <c r="K50" s="35"/>
      <c r="L50" s="34">
        <f t="shared" si="0"/>
        <v>0</v>
      </c>
    </row>
    <row r="51" spans="1:120">
      <c r="A51" s="1"/>
      <c r="B51" s="32"/>
      <c r="C51" s="49"/>
      <c r="D51" s="50"/>
      <c r="E51" s="50"/>
      <c r="F51" s="50"/>
      <c r="G51" s="50"/>
      <c r="H51" s="50"/>
      <c r="I51" s="50"/>
      <c r="J51" s="51"/>
      <c r="K51" s="35"/>
      <c r="L51" s="34">
        <f t="shared" si="0"/>
        <v>0</v>
      </c>
    </row>
    <row r="52" spans="1:120">
      <c r="A52" s="1"/>
      <c r="B52" s="32"/>
      <c r="C52" s="49"/>
      <c r="D52" s="50"/>
      <c r="E52" s="50"/>
      <c r="F52" s="50"/>
      <c r="G52" s="50"/>
      <c r="H52" s="50"/>
      <c r="I52" s="50"/>
      <c r="J52" s="51"/>
      <c r="K52" s="35"/>
      <c r="L52" s="34">
        <f t="shared" si="0"/>
        <v>0</v>
      </c>
    </row>
    <row r="53" spans="1:120">
      <c r="A53" s="1"/>
      <c r="B53" s="32"/>
      <c r="C53" s="63"/>
      <c r="D53" s="50"/>
      <c r="E53" s="50"/>
      <c r="F53" s="50"/>
      <c r="G53" s="50"/>
      <c r="H53" s="50"/>
      <c r="I53" s="50"/>
      <c r="J53" s="51"/>
      <c r="K53" s="35"/>
      <c r="L53" s="34">
        <f t="shared" si="0"/>
        <v>0</v>
      </c>
    </row>
    <row r="54" spans="1:120">
      <c r="A54" s="1"/>
      <c r="B54" s="32"/>
      <c r="C54" s="49"/>
      <c r="D54" s="50"/>
      <c r="E54" s="50"/>
      <c r="F54" s="50"/>
      <c r="G54" s="50"/>
      <c r="H54" s="50"/>
      <c r="I54" s="50"/>
      <c r="J54" s="51"/>
      <c r="K54" s="35"/>
      <c r="L54" s="34">
        <f t="shared" si="0"/>
        <v>0</v>
      </c>
    </row>
    <row r="55" spans="1:120">
      <c r="A55" s="1"/>
      <c r="B55" s="32"/>
      <c r="C55" s="49"/>
      <c r="D55" s="50"/>
      <c r="E55" s="50"/>
      <c r="F55" s="50"/>
      <c r="G55" s="50"/>
      <c r="H55" s="50"/>
      <c r="I55" s="50"/>
      <c r="J55" s="51"/>
      <c r="K55" s="35"/>
      <c r="L55" s="34"/>
    </row>
    <row r="56" spans="1:120">
      <c r="A56" s="1"/>
      <c r="B56" s="32"/>
      <c r="C56" s="49"/>
      <c r="D56" s="50"/>
      <c r="E56" s="50"/>
      <c r="F56" s="50"/>
      <c r="G56" s="50"/>
      <c r="H56" s="50"/>
      <c r="I56" s="50"/>
      <c r="J56" s="51"/>
      <c r="K56" s="35"/>
      <c r="L56" s="34"/>
    </row>
    <row r="57" spans="1:120">
      <c r="A57" s="1"/>
      <c r="B57" s="32"/>
      <c r="C57" s="49"/>
      <c r="D57" s="50"/>
      <c r="E57" s="50"/>
      <c r="F57" s="50"/>
      <c r="G57" s="50"/>
      <c r="H57" s="50"/>
      <c r="I57" s="50"/>
      <c r="J57" s="51"/>
      <c r="K57" s="35"/>
      <c r="L57" s="34"/>
    </row>
    <row r="58" spans="1:120">
      <c r="A58" s="1"/>
      <c r="B58" s="32"/>
      <c r="C58" s="49"/>
      <c r="D58" s="50"/>
      <c r="E58" s="50"/>
      <c r="F58" s="50"/>
      <c r="G58" s="50"/>
      <c r="H58" s="50"/>
      <c r="I58" s="50"/>
      <c r="J58" s="51"/>
      <c r="K58" s="35"/>
      <c r="L58" s="34"/>
    </row>
    <row r="59" spans="1:120">
      <c r="A59" s="1"/>
      <c r="B59" s="32"/>
      <c r="C59" s="49" t="s">
        <v>20</v>
      </c>
      <c r="D59" s="50"/>
      <c r="E59" s="50"/>
      <c r="F59" s="50"/>
      <c r="G59" s="50"/>
      <c r="H59" s="50"/>
      <c r="I59" s="50"/>
      <c r="J59" s="51"/>
      <c r="K59" s="35"/>
      <c r="L59" s="34"/>
    </row>
    <row r="60" spans="1:120">
      <c r="A60" s="1"/>
      <c r="B60" s="32"/>
      <c r="C60" s="49" t="s">
        <v>21</v>
      </c>
      <c r="D60" s="50"/>
      <c r="E60" s="50"/>
      <c r="F60" s="50"/>
      <c r="G60" s="50"/>
      <c r="H60" s="50"/>
      <c r="I60" s="50"/>
      <c r="J60" s="51"/>
      <c r="K60" s="35"/>
      <c r="L60" s="34"/>
    </row>
    <row r="61" spans="1:120">
      <c r="A61" s="1"/>
      <c r="B61" s="32"/>
      <c r="C61" s="49" t="s">
        <v>39</v>
      </c>
      <c r="D61" s="50"/>
      <c r="E61" s="50"/>
      <c r="F61" s="50"/>
      <c r="G61" s="50"/>
      <c r="H61" s="50"/>
      <c r="I61" s="50"/>
      <c r="J61" s="51"/>
      <c r="K61" s="35" t="s">
        <v>1</v>
      </c>
      <c r="L61" s="34" t="str">
        <f t="shared" si="0"/>
        <v/>
      </c>
    </row>
    <row r="62" spans="1:120" s="31" customFormat="1" ht="13">
      <c r="A62" s="4"/>
      <c r="B62" s="36"/>
      <c r="C62" s="54" t="s">
        <v>23</v>
      </c>
      <c r="D62" s="52"/>
      <c r="E62" s="52"/>
      <c r="F62" s="52"/>
      <c r="G62" s="52"/>
      <c r="H62" s="52"/>
      <c r="I62" s="52"/>
      <c r="J62" s="53"/>
      <c r="K62" s="33"/>
      <c r="L62" s="34">
        <f t="shared" si="0"/>
        <v>0</v>
      </c>
    </row>
    <row r="63" spans="1:120">
      <c r="A63" s="1"/>
      <c r="B63" s="36"/>
      <c r="C63" s="54" t="s">
        <v>31</v>
      </c>
      <c r="D63" s="58"/>
      <c r="E63" s="58"/>
      <c r="F63" s="58"/>
      <c r="G63" s="58"/>
      <c r="H63" s="58"/>
      <c r="I63" s="58"/>
      <c r="J63" s="59"/>
      <c r="K63" s="29"/>
      <c r="L63" s="34">
        <f t="shared" si="0"/>
        <v>0</v>
      </c>
    </row>
    <row r="64" spans="1:120" s="40" customFormat="1" ht="13">
      <c r="A64" s="37"/>
      <c r="B64" s="36"/>
      <c r="C64" s="54" t="s">
        <v>32</v>
      </c>
      <c r="D64" s="58"/>
      <c r="E64" s="58"/>
      <c r="F64" s="58"/>
      <c r="G64" s="58"/>
      <c r="H64" s="58"/>
      <c r="I64" s="58"/>
      <c r="J64" s="59"/>
      <c r="K64" s="33"/>
      <c r="L64" s="34">
        <f t="shared" si="0"/>
        <v>0</v>
      </c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</row>
    <row r="65" spans="1:120" s="40" customFormat="1" ht="13">
      <c r="A65" s="37"/>
      <c r="B65" s="38"/>
      <c r="C65" s="54"/>
      <c r="D65" s="58"/>
      <c r="E65" s="58"/>
      <c r="F65" s="58"/>
      <c r="G65" s="58"/>
      <c r="H65" s="58"/>
      <c r="I65" s="58"/>
      <c r="J65" s="59"/>
      <c r="K65" s="39"/>
      <c r="L65" s="34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</row>
    <row r="66" spans="1:120" s="40" customFormat="1" ht="13">
      <c r="A66" s="37"/>
      <c r="B66" s="38"/>
      <c r="C66" s="54"/>
      <c r="D66" s="58"/>
      <c r="E66" s="58"/>
      <c r="F66" s="58"/>
      <c r="G66" s="58"/>
      <c r="H66" s="58"/>
      <c r="I66" s="58"/>
      <c r="J66" s="59"/>
      <c r="K66" s="39"/>
      <c r="L66" s="34">
        <f t="shared" si="0"/>
        <v>0</v>
      </c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</row>
    <row r="67" spans="1:120">
      <c r="A67" s="1"/>
      <c r="B67" s="41"/>
      <c r="C67" s="84"/>
      <c r="D67" s="85"/>
      <c r="E67" s="85"/>
      <c r="F67" s="85"/>
      <c r="G67" s="85"/>
      <c r="H67" s="85"/>
      <c r="I67" s="85"/>
      <c r="J67" s="86"/>
      <c r="K67" s="42"/>
      <c r="L67" s="34">
        <f t="shared" si="0"/>
        <v>0</v>
      </c>
    </row>
    <row r="68" spans="1:120">
      <c r="A68" s="1"/>
      <c r="B68" s="16"/>
      <c r="C68" s="25" t="s">
        <v>58</v>
      </c>
      <c r="D68" s="16"/>
      <c r="E68" s="16"/>
      <c r="F68" s="16"/>
      <c r="G68" s="16"/>
      <c r="H68" s="16"/>
      <c r="I68" s="16"/>
      <c r="J68" s="16"/>
      <c r="K68" s="43" t="s">
        <v>17</v>
      </c>
      <c r="L68" s="48">
        <f>IF(SUM(L19:L67)&gt;0,ROUND(SUM(L19:L67),2),"")</f>
        <v>465347.51</v>
      </c>
    </row>
    <row r="69" spans="1:120">
      <c r="A69" s="1"/>
      <c r="B69" s="16"/>
      <c r="C69" s="25" t="s">
        <v>59</v>
      </c>
      <c r="D69" s="16"/>
      <c r="E69" s="16"/>
      <c r="F69" s="16"/>
      <c r="G69" s="16"/>
      <c r="H69" s="16"/>
      <c r="I69" s="16"/>
      <c r="J69" s="16"/>
      <c r="K69" s="71"/>
      <c r="L69" s="48"/>
    </row>
    <row r="70" spans="1:120">
      <c r="A70" s="1"/>
      <c r="B70" s="16"/>
      <c r="C70" s="25" t="s">
        <v>60</v>
      </c>
      <c r="D70" s="16"/>
      <c r="E70" s="16"/>
      <c r="F70" s="16"/>
      <c r="G70" s="16"/>
      <c r="H70" s="16"/>
      <c r="I70" s="16"/>
      <c r="J70" s="16"/>
      <c r="K70" s="43"/>
      <c r="L70" s="48"/>
    </row>
    <row r="71" spans="1:120">
      <c r="A71" s="1"/>
      <c r="B71" s="16"/>
      <c r="C71" s="25" t="s">
        <v>61</v>
      </c>
      <c r="D71" s="25"/>
      <c r="E71" s="25"/>
      <c r="F71" s="16"/>
      <c r="G71" s="16"/>
      <c r="H71" s="16"/>
      <c r="I71" s="16"/>
      <c r="J71" s="16"/>
      <c r="K71" s="43"/>
      <c r="L71" s="48"/>
    </row>
    <row r="72" spans="1:120" ht="16">
      <c r="A72" s="1"/>
      <c r="B72" s="16"/>
      <c r="C72" s="25" t="s">
        <v>62</v>
      </c>
      <c r="D72" s="25"/>
      <c r="E72" s="25"/>
      <c r="F72" s="16"/>
      <c r="G72" s="16"/>
      <c r="H72" s="16"/>
      <c r="I72" s="16"/>
      <c r="J72" s="16"/>
      <c r="K72" s="44" t="s">
        <v>18</v>
      </c>
      <c r="L72" s="70" t="str">
        <f>IF(L71="",L16&amp;" "&amp;TEXT(L68,"#,##0.00"),L16&amp;" "&amp;TEXT(ROUND(SUM(L70:L71),2),"#,##0.00"))</f>
        <v>GH₵ 465,347.51</v>
      </c>
    </row>
    <row r="73" spans="1:120">
      <c r="A73" s="1"/>
      <c r="B73" s="43"/>
      <c r="C73" s="67" t="s">
        <v>63</v>
      </c>
      <c r="D73" s="67"/>
      <c r="E73" s="67"/>
      <c r="F73" s="16"/>
      <c r="G73" s="45"/>
      <c r="H73" s="45"/>
      <c r="I73" s="16"/>
      <c r="J73" s="16"/>
      <c r="K73" s="16"/>
      <c r="L73" s="16"/>
    </row>
    <row r="74" spans="1:120" ht="15" customHeight="1">
      <c r="A74" s="1"/>
      <c r="B74" s="43"/>
      <c r="C74" s="68" t="s">
        <v>64</v>
      </c>
      <c r="D74" s="68"/>
      <c r="E74" s="68"/>
      <c r="F74" s="16"/>
      <c r="G74" s="16"/>
      <c r="H74" s="16"/>
      <c r="I74" s="87" t="s">
        <v>19</v>
      </c>
      <c r="J74" s="88"/>
      <c r="K74" s="88"/>
      <c r="L74" s="89"/>
    </row>
    <row r="75" spans="1:120">
      <c r="A75" s="1"/>
      <c r="B75" s="43"/>
      <c r="C75" s="69"/>
      <c r="D75" s="69"/>
      <c r="E75" s="69"/>
      <c r="F75" s="16"/>
      <c r="G75" s="16"/>
      <c r="H75" s="16"/>
      <c r="I75" s="90"/>
      <c r="J75" s="91"/>
      <c r="K75" s="91"/>
      <c r="L75" s="92"/>
    </row>
    <row r="76" spans="1:120">
      <c r="A76" s="1"/>
      <c r="B76" s="16"/>
      <c r="C76" s="25" t="s">
        <v>22</v>
      </c>
      <c r="D76" s="16"/>
      <c r="E76" s="16"/>
      <c r="F76" s="16"/>
      <c r="G76" s="16"/>
      <c r="H76" s="16"/>
      <c r="I76" s="93"/>
      <c r="J76" s="94"/>
      <c r="K76" s="94"/>
      <c r="L76" s="95"/>
    </row>
    <row r="77" spans="1:120" ht="12.75" customHeight="1">
      <c r="A77" s="1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</row>
    <row r="78" spans="1:120" ht="12.75" customHeight="1">
      <c r="A78" s="1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</row>
    <row r="79" spans="1:120" ht="16" thickBot="1">
      <c r="A79" s="1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</row>
    <row r="80" spans="1:120" ht="16" thickTop="1">
      <c r="A80" s="1"/>
      <c r="B80" s="46" t="s">
        <v>65</v>
      </c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spans="1:12">
      <c r="A81" s="1"/>
      <c r="B81" s="16"/>
      <c r="C81" s="83"/>
      <c r="D81" s="83"/>
      <c r="E81" s="83"/>
      <c r="F81" s="83"/>
      <c r="G81" s="83"/>
      <c r="H81" s="83"/>
      <c r="I81" s="83"/>
      <c r="J81" s="83"/>
      <c r="K81" s="83"/>
      <c r="L81" s="16"/>
    </row>
    <row r="82" spans="1:12">
      <c r="A82" s="1"/>
      <c r="B82" s="16"/>
      <c r="C82" s="82"/>
      <c r="D82" s="82"/>
      <c r="E82" s="82"/>
      <c r="F82" s="82"/>
      <c r="G82" s="82"/>
      <c r="H82" s="82"/>
      <c r="I82" s="82"/>
      <c r="J82" s="82"/>
      <c r="K82" s="82"/>
      <c r="L82" s="16"/>
    </row>
    <row r="83" spans="1:12">
      <c r="A83" s="1"/>
      <c r="B83" s="16"/>
      <c r="C83" s="82"/>
      <c r="D83" s="82"/>
      <c r="E83" s="82"/>
      <c r="F83" s="82"/>
      <c r="G83" s="82"/>
      <c r="H83" s="82"/>
      <c r="I83" s="82"/>
      <c r="J83" s="82"/>
      <c r="K83" s="82"/>
      <c r="L83" s="16"/>
    </row>
  </sheetData>
  <mergeCells count="7">
    <mergeCell ref="B3:E7"/>
    <mergeCell ref="F7:G7"/>
    <mergeCell ref="C18:J18"/>
    <mergeCell ref="B77:L78"/>
    <mergeCell ref="C81:K83"/>
    <mergeCell ref="C67:J67"/>
    <mergeCell ref="I74:L76"/>
  </mergeCells>
  <phoneticPr fontId="16" type="noConversion"/>
  <conditionalFormatting sqref="L73:L65536 L46:L68 B1:B1048576 L17:L36">
    <cfRule type="cellIs" dxfId="18" priority="42" operator="equal">
      <formula>0</formula>
    </cfRule>
  </conditionalFormatting>
  <conditionalFormatting sqref="L1:L12 C80:K80">
    <cfRule type="cellIs" dxfId="17" priority="41" operator="equal">
      <formula>0</formula>
    </cfRule>
  </conditionalFormatting>
  <conditionalFormatting sqref="L13:L16">
    <cfRule type="cellIs" dxfId="16" priority="37" operator="equal">
      <formula>0</formula>
    </cfRule>
  </conditionalFormatting>
  <conditionalFormatting sqref="B25:B26">
    <cfRule type="cellIs" dxfId="15" priority="32" operator="equal">
      <formula>0</formula>
    </cfRule>
  </conditionalFormatting>
  <conditionalFormatting sqref="L43:L44 L38:L41">
    <cfRule type="cellIs" dxfId="14" priority="31" operator="equal">
      <formula>0</formula>
    </cfRule>
  </conditionalFormatting>
  <conditionalFormatting sqref="L37">
    <cfRule type="cellIs" dxfId="13" priority="29" operator="equal">
      <formula>0</formula>
    </cfRule>
  </conditionalFormatting>
  <conditionalFormatting sqref="L45">
    <cfRule type="cellIs" dxfId="12" priority="26" operator="equal">
      <formula>0</formula>
    </cfRule>
  </conditionalFormatting>
  <conditionalFormatting sqref="L42">
    <cfRule type="cellIs" dxfId="11" priority="25" operator="equal">
      <formula>0</formula>
    </cfRule>
  </conditionalFormatting>
  <conditionalFormatting sqref="B35">
    <cfRule type="cellIs" dxfId="10" priority="16" operator="equal">
      <formula>0</formula>
    </cfRule>
  </conditionalFormatting>
  <conditionalFormatting sqref="B35">
    <cfRule type="cellIs" dxfId="9" priority="15" operator="equal">
      <formula>0</formula>
    </cfRule>
  </conditionalFormatting>
  <conditionalFormatting sqref="B61">
    <cfRule type="cellIs" dxfId="8" priority="12" operator="equal">
      <formula>0</formula>
    </cfRule>
  </conditionalFormatting>
  <conditionalFormatting sqref="B35">
    <cfRule type="cellIs" dxfId="7" priority="10" operator="equal">
      <formula>0</formula>
    </cfRule>
  </conditionalFormatting>
  <conditionalFormatting sqref="B35">
    <cfRule type="cellIs" dxfId="6" priority="9" operator="equal">
      <formula>0</formula>
    </cfRule>
  </conditionalFormatting>
  <conditionalFormatting sqref="B35">
    <cfRule type="cellIs" dxfId="5" priority="8" operator="equal">
      <formula>0</formula>
    </cfRule>
  </conditionalFormatting>
  <conditionalFormatting sqref="B35">
    <cfRule type="cellIs" dxfId="4" priority="7" operator="equal">
      <formula>0</formula>
    </cfRule>
  </conditionalFormatting>
  <conditionalFormatting sqref="B36">
    <cfRule type="cellIs" dxfId="3" priority="6" operator="equal">
      <formula>0</formula>
    </cfRule>
  </conditionalFormatting>
  <conditionalFormatting sqref="B36">
    <cfRule type="cellIs" dxfId="2" priority="5" operator="equal">
      <formula>0</formula>
    </cfRule>
  </conditionalFormatting>
  <conditionalFormatting sqref="L72">
    <cfRule type="cellIs" dxfId="1" priority="4" operator="equal">
      <formula>0</formula>
    </cfRule>
  </conditionalFormatting>
  <conditionalFormatting sqref="L69:L71">
    <cfRule type="cellIs" dxfId="0" priority="1" operator="equal">
      <formula>0</formula>
    </cfRule>
  </conditionalFormatting>
  <dataValidations count="6">
    <dataValidation allowBlank="1" showInputMessage="1" showErrorMessage="1" promptTitle="Company Information" prompt="To enter multiple lines in a single cell, use Alt + Enter._x000a__x000a_You can also customize this template with your company information and then save it as a new template for future use.  See the help topics for more information on how to create custom templates." sqref="I5:I6"/>
    <dataValidation allowBlank="1" showInputMessage="1" showErrorMessage="1" promptTitle="Name" prompt="Enter the customer's name as it appears on the credit card." sqref="C73:E73"/>
    <dataValidation errorStyle="warning" allowBlank="1" showInputMessage="1" errorTitle="Office Use Only" promptTitle="Office Use Only" prompt="Use this block for any information not included elsewhere on this invoice. Either type it right into the sheet or write it into the block after printing." sqref="I74"/>
    <dataValidation errorStyle="warning" allowBlank="1" showInputMessage="1" errorTitle="Credit Card Number" promptTitle="Credit Card Number" prompt="Enter the customer's credit card number in this space." sqref="C74:E74"/>
    <dataValidation errorStyle="warning" allowBlank="1" showInputMessage="1" errorTitle="Farewell Statement" promptTitle="Farewell Statement" prompt="Enter any parting message for your customers (company slogan, mission statement, etc.) If you do not want a parting message, use Edit|Clear|Contents to remove the existing text." sqref="C81"/>
    <dataValidation allowBlank="1" showErrorMessage="1" errorTitle="Unit Price" error="You must enter a number into this cell." promptTitle="Unit Price" sqref="K69:K71"/>
  </dataValidations>
  <pageMargins left="0.70866141732283472" right="0.70866141732283472" top="0.74803149606299213" bottom="0.74803149606299213" header="0.31496062992125984" footer="0.31496062992125984"/>
  <pageSetup paperSize="9" scale="62"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Microsoft Office User</cp:lastModifiedBy>
  <cp:lastPrinted>2020-09-14T08:25:22Z</cp:lastPrinted>
  <dcterms:created xsi:type="dcterms:W3CDTF">2019-09-10T17:01:16Z</dcterms:created>
  <dcterms:modified xsi:type="dcterms:W3CDTF">2024-11-17T19:35:34Z</dcterms:modified>
</cp:coreProperties>
</file>